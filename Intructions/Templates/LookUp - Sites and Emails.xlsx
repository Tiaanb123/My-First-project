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lstefgroup-my.sharepoint.com/personal/tiaan_botha_alstefgroup_com/Documents/Support SharedDrive/LookUp Table/"/>
    </mc:Choice>
  </mc:AlternateContent>
  <xr:revisionPtr revIDLastSave="2002" documentId="8_{FDE6F16B-503A-4FE5-81A9-CC72351BB9AC}" xr6:coauthVersionLast="47" xr6:coauthVersionMax="47" xr10:uidLastSave="{1D7B050D-AA80-476E-BCE7-6BD1162197B9}"/>
  <bookViews>
    <workbookView xWindow="-26904" yWindow="17388" windowWidth="23256" windowHeight="12456" tabRatio="557" firstSheet="1" xr2:uid="{FF6EF518-7D8D-4602-9439-B13EFC62B840}"/>
  </bookViews>
  <sheets>
    <sheet name="Lookup" sheetId="4" r:id="rId1"/>
    <sheet name="Site Names" sheetId="7" r:id="rId2"/>
  </sheets>
  <definedNames>
    <definedName name="SiteNam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4" l="1"/>
  <c r="D8" i="4" s="1"/>
  <c r="F4" i="4"/>
  <c r="D4" i="4" s="1"/>
  <c r="F7" i="4"/>
  <c r="D7" i="4" s="1"/>
  <c r="F6" i="4"/>
  <c r="D6" i="4" s="1"/>
  <c r="F5" i="4"/>
  <c r="D5" i="4" s="1"/>
</calcChain>
</file>

<file path=xl/sharedStrings.xml><?xml version="1.0" encoding="utf-8"?>
<sst xmlns="http://schemas.openxmlformats.org/spreadsheetml/2006/main" count="529" uniqueCount="262">
  <si>
    <t>Lookup</t>
  </si>
  <si>
    <t>Site:</t>
  </si>
  <si>
    <t>Nadi Airport (Fiji) Airport NAN</t>
  </si>
  <si>
    <t>Email:</t>
  </si>
  <si>
    <t>CS Client:</t>
  </si>
  <si>
    <t>CS Cost Centre:</t>
  </si>
  <si>
    <t>Work Bench Code:</t>
  </si>
  <si>
    <t>Status:</t>
  </si>
  <si>
    <t>CS Client</t>
  </si>
  <si>
    <t xml:space="preserve">CS Cost Centre </t>
  </si>
  <si>
    <t>Site</t>
  </si>
  <si>
    <t>WB Code</t>
  </si>
  <si>
    <t>Status</t>
  </si>
  <si>
    <t>Region</t>
  </si>
  <si>
    <t>Emails</t>
  </si>
  <si>
    <t>GBE_APAC</t>
  </si>
  <si>
    <t>Need BF</t>
  </si>
  <si>
    <t>Gaborone SSKIA Airport GBE</t>
  </si>
  <si>
    <t>Inactive</t>
  </si>
  <si>
    <t>Africa</t>
  </si>
  <si>
    <t>trevor@parnis.co.za</t>
  </si>
  <si>
    <t>DUR_APAC</t>
  </si>
  <si>
    <t>BHSDUR</t>
  </si>
  <si>
    <t>King Shaka Intl. Airport DUR</t>
  </si>
  <si>
    <t>Active</t>
  </si>
  <si>
    <t>HLA_APAC</t>
  </si>
  <si>
    <t>BHSHLA</t>
  </si>
  <si>
    <t>Lanseria Intl. Airport HLA</t>
  </si>
  <si>
    <t>ADL_APAC</t>
  </si>
  <si>
    <t>RS003Y02NZ</t>
  </si>
  <si>
    <t>Adelaide Airport ADL</t>
  </si>
  <si>
    <t>Australia</t>
  </si>
  <si>
    <t>BNE_APAC</t>
  </si>
  <si>
    <t xml:space="preserve">RS001Y03NZ </t>
  </si>
  <si>
    <t>Brisbane  Intl. Airport BNE</t>
  </si>
  <si>
    <t>RS001Y03NZ</t>
  </si>
  <si>
    <t>BME_APAC</t>
  </si>
  <si>
    <t>Broome  Intl. Airport BME</t>
  </si>
  <si>
    <t>KTA_APAC</t>
  </si>
  <si>
    <t>Karratha Airport KTA</t>
  </si>
  <si>
    <t>LRE_APAC</t>
  </si>
  <si>
    <t>Longreach Airport LRE</t>
  </si>
  <si>
    <t>MKY_APAC</t>
  </si>
  <si>
    <t>Mackay Airport MKY</t>
  </si>
  <si>
    <t>MOV_APAC</t>
  </si>
  <si>
    <t>Moranbah Airport MOV</t>
  </si>
  <si>
    <t>NTL_APAC</t>
  </si>
  <si>
    <t>Newcastle Airport NTL</t>
  </si>
  <si>
    <t>ZNE_APAC</t>
  </si>
  <si>
    <t>Newman Airport ZNE</t>
  </si>
  <si>
    <t>PER_APAC</t>
  </si>
  <si>
    <t>PER001</t>
  </si>
  <si>
    <t>Perth Airport PER</t>
  </si>
  <si>
    <t>PHE_APAC</t>
  </si>
  <si>
    <t>Port Headland  Intl. Airport PHE</t>
  </si>
  <si>
    <t>ROK_APAC</t>
  </si>
  <si>
    <t>Rockhampton Airport ROC</t>
  </si>
  <si>
    <t>NAS_APAC</t>
  </si>
  <si>
    <t>Nassau (Bahamas) Airport NAS</t>
  </si>
  <si>
    <t>Bahamas</t>
  </si>
  <si>
    <t>BDA_APAC</t>
  </si>
  <si>
    <t>BHSBDA</t>
  </si>
  <si>
    <t>Bermuda Airport BDA</t>
  </si>
  <si>
    <t>Bermuda</t>
  </si>
  <si>
    <t>cmadeiros@skyport.bm</t>
  </si>
  <si>
    <t>YTZ_APAC</t>
  </si>
  <si>
    <t>BHSYTZ</t>
  </si>
  <si>
    <t>Billy Bishop Airport YTZ</t>
  </si>
  <si>
    <t>Canada</t>
  </si>
  <si>
    <t>Shelly Koop - DutyManager@yxe.ca</t>
  </si>
  <si>
    <t>YEG_APAC</t>
  </si>
  <si>
    <t>BHSYEG</t>
  </si>
  <si>
    <t>Edmonton Intl. Airport YEG</t>
  </si>
  <si>
    <t>Send feedback form to caller</t>
  </si>
  <si>
    <t>YHM_APAC</t>
  </si>
  <si>
    <t>BHSYHM</t>
  </si>
  <si>
    <t>Hamilton CA Airport YHM</t>
  </si>
  <si>
    <t>YLW_APAC</t>
  </si>
  <si>
    <t>BHSYLW</t>
  </si>
  <si>
    <t>Kelowna Airport YLW</t>
  </si>
  <si>
    <t>YXU_APAC</t>
  </si>
  <si>
    <t>BHSYXU</t>
  </si>
  <si>
    <t>London CA Airport YXU</t>
  </si>
  <si>
    <t>Stop Service</t>
  </si>
  <si>
    <t>YQM_APAC</t>
  </si>
  <si>
    <t>Moncton Airport YQM</t>
  </si>
  <si>
    <t>YXS_APAC</t>
  </si>
  <si>
    <t>Prince George Airport YXS</t>
  </si>
  <si>
    <t>YQR_APAC</t>
  </si>
  <si>
    <t>BHSYQR</t>
  </si>
  <si>
    <t>Regina Intl. Airport YQR</t>
  </si>
  <si>
    <t>YXE_APAC</t>
  </si>
  <si>
    <t>BHSYXE</t>
  </si>
  <si>
    <t>Saskatoon Airport YXE</t>
  </si>
  <si>
    <t>YYT_APAC</t>
  </si>
  <si>
    <t>St John's Airport YYT</t>
  </si>
  <si>
    <t>YYZ_APAC</t>
  </si>
  <si>
    <t>BHSYYZ</t>
  </si>
  <si>
    <t>Toronto Pearson Intl. Airport YYZ</t>
  </si>
  <si>
    <t>UST_APAC</t>
  </si>
  <si>
    <t>BHSUST</t>
  </si>
  <si>
    <t>Union Station (Toronto) VIA UST</t>
  </si>
  <si>
    <t>YVR_APAC</t>
  </si>
  <si>
    <t>BHSYVR</t>
  </si>
  <si>
    <t>Vancouver Intl. Airport YVR</t>
  </si>
  <si>
    <t>SYSLIC001</t>
  </si>
  <si>
    <t>YYJ_APAC</t>
  </si>
  <si>
    <t>BHSYYJ</t>
  </si>
  <si>
    <t>Victoria Airport YYJ</t>
  </si>
  <si>
    <t>YKF_APAC</t>
  </si>
  <si>
    <t>BHSYKF</t>
  </si>
  <si>
    <t>Waterloo Airport YKF</t>
  </si>
  <si>
    <t>YXY_APAC</t>
  </si>
  <si>
    <t>BHSYXY</t>
  </si>
  <si>
    <t>Whitehorse Airport YXY</t>
  </si>
  <si>
    <t>Site email - HBS@YYJ.ca
Ouellette Chris (site manager?) - chriso@islandtemp.com</t>
  </si>
  <si>
    <t>YQG_APAC</t>
  </si>
  <si>
    <t>BHSYQG</t>
  </si>
  <si>
    <t>Windsor Airport YQG</t>
  </si>
  <si>
    <t>YZF_APAC</t>
  </si>
  <si>
    <t>BHSYZF</t>
  </si>
  <si>
    <t>Yellow Knife Airport YZF</t>
  </si>
  <si>
    <t>NAN_APAC</t>
  </si>
  <si>
    <t>Fiji</t>
  </si>
  <si>
    <t>COK_APAC</t>
  </si>
  <si>
    <t>Cochin Intl. Airport COK</t>
  </si>
  <si>
    <t>COK001</t>
  </si>
  <si>
    <t>India</t>
  </si>
  <si>
    <t>KIN_APAC</t>
  </si>
  <si>
    <t>Kingston NMIA Airport KIN</t>
  </si>
  <si>
    <t>Jamaica</t>
  </si>
  <si>
    <t>hcreighton@oshkoshaerotech.com</t>
  </si>
  <si>
    <t>MBJ_APAC</t>
  </si>
  <si>
    <t>BHSMBJ</t>
  </si>
  <si>
    <t>Sangster Airport MBJ</t>
  </si>
  <si>
    <t>PEN_APAC</t>
  </si>
  <si>
    <t>Penang (Malaysia) Airport PEN</t>
  </si>
  <si>
    <t>Malaysia</t>
  </si>
  <si>
    <t>MLE_APAC</t>
  </si>
  <si>
    <t>Velana Intl. Airport MLE</t>
  </si>
  <si>
    <t>Maldives</t>
  </si>
  <si>
    <t>ANZ_APAC</t>
  </si>
  <si>
    <t>MNTANZ</t>
  </si>
  <si>
    <t>Air NZ Domestic ANZ</t>
  </si>
  <si>
    <t>New Zealand</t>
  </si>
  <si>
    <t>Jim LENAGHAN - Jim.Lenaghan@alstefgroup.com</t>
  </si>
  <si>
    <t>AKL_APAC</t>
  </si>
  <si>
    <t>RS006Y04NZ</t>
  </si>
  <si>
    <t>Auckland Intl. Airport AKL</t>
  </si>
  <si>
    <t>CHC_APAC</t>
  </si>
  <si>
    <t>CHC001</t>
  </si>
  <si>
    <t>Christchurch Intl. Airport CHC</t>
  </si>
  <si>
    <t>Blair POLAND - Blair.Poland@alstefgroup.com</t>
  </si>
  <si>
    <t>DUD_APAC</t>
  </si>
  <si>
    <t>FS001</t>
  </si>
  <si>
    <t>Dunedin Airport DUD</t>
  </si>
  <si>
    <t>Jesse Gibbs - jgibbs@dnairport.co.nz
CC: Blair POLAND - Blair.Poland@alstefgroup.com</t>
  </si>
  <si>
    <t>HLZ_APAC</t>
  </si>
  <si>
    <t>Hamilton  Intl. Airport HLZ</t>
  </si>
  <si>
    <t>NSN_APAC</t>
  </si>
  <si>
    <t>FS002Y01NZ</t>
  </si>
  <si>
    <t>Nelson Airport NSN</t>
  </si>
  <si>
    <t>Marius Coetzee - marius@nelsonairport.co.nz
CC: Blair POLAND - Blair.Poland@alstefgroup.com</t>
  </si>
  <si>
    <t>PMR_APAC</t>
  </si>
  <si>
    <t>Palmerston North Airport PMR</t>
  </si>
  <si>
    <t>ZQN_APAC</t>
  </si>
  <si>
    <t>MNTZQN</t>
  </si>
  <si>
    <t>Queenstown Airport ZQN</t>
  </si>
  <si>
    <t>Sean Whittaker - sean.whittaker@queenstownairport.co.nz
CC: Blair POLAND - Blair.Poland@alstefgroup.com</t>
  </si>
  <si>
    <t>WLG_APAC</t>
  </si>
  <si>
    <t>MNTWLG</t>
  </si>
  <si>
    <t>Wellington Intl. Airport WLG</t>
  </si>
  <si>
    <t>HS0012</t>
  </si>
  <si>
    <t>Nick Nagel - Nick.Nagel@wellingtonairport.co.nz</t>
  </si>
  <si>
    <t>MCT_APAC</t>
  </si>
  <si>
    <t>Muscat (Seeb) Airport MCT</t>
  </si>
  <si>
    <t>Oman</t>
  </si>
  <si>
    <t>AMX_APAC</t>
  </si>
  <si>
    <t>MNTAMX</t>
  </si>
  <si>
    <t>Aramex AMX</t>
  </si>
  <si>
    <t>Expired</t>
  </si>
  <si>
    <t>Parcels</t>
  </si>
  <si>
    <t>andre@aramex.com</t>
  </si>
  <si>
    <t>PDC_APAC</t>
  </si>
  <si>
    <t>FS008Y01NZ</t>
  </si>
  <si>
    <t>Australia Post Ballarat BLT</t>
  </si>
  <si>
    <t>HS0007NZ</t>
  </si>
  <si>
    <t>AP_MGF_APAC</t>
  </si>
  <si>
    <t>HS0005NZ</t>
  </si>
  <si>
    <t>Australia Post Melbourne Gateway Facility MGF</t>
  </si>
  <si>
    <t>AP_SGF_APAC</t>
  </si>
  <si>
    <t>HS0006NZ</t>
  </si>
  <si>
    <t>Australia Post Sydney Gateway Facility SGF</t>
  </si>
  <si>
    <t>CAP_APAC</t>
  </si>
  <si>
    <t>Castle Parcels CAP</t>
  </si>
  <si>
    <t>muni.thimmappa@auspost.com.au</t>
  </si>
  <si>
    <t>CPPL_MSE_APAC</t>
  </si>
  <si>
    <t>CouriersPlease Dandenong CPL</t>
  </si>
  <si>
    <t>Trent Jones - trent.jones@couriersplease.com.au</t>
  </si>
  <si>
    <t>CPPL_GST_APAC</t>
  </si>
  <si>
    <t>FS016NZ</t>
  </si>
  <si>
    <t>CouriersPlease Greystanes CPL</t>
  </si>
  <si>
    <t>LPC_APAC</t>
  </si>
  <si>
    <t>Launceston LPC</t>
  </si>
  <si>
    <t>QTF_APAC</t>
  </si>
  <si>
    <t>Qantas Freight QTF</t>
  </si>
  <si>
    <t>ST_ADR_APAC</t>
  </si>
  <si>
    <t>StarTrack Adelaide ADR</t>
  </si>
  <si>
    <t>ST_BNEP_APAC</t>
  </si>
  <si>
    <t>MNTBNEP</t>
  </si>
  <si>
    <t>StarTrack Brisbane Premium BPC</t>
  </si>
  <si>
    <t>HS0004NZ</t>
  </si>
  <si>
    <t>ST_CHL_APAC</t>
  </si>
  <si>
    <t>HS0002NZ</t>
  </si>
  <si>
    <t>StarTrack Chullora MRP</t>
  </si>
  <si>
    <t>Luke MYERS (AM Shift ) - luke.myers2@startrack.com.au,
Palash Arifruzzaman (PM Shift ) - palash.arifruzzaman@startrack.com.au</t>
  </si>
  <si>
    <t>ST_MSE_APAC</t>
  </si>
  <si>
    <t>MNTMSE</t>
  </si>
  <si>
    <t>StarTrack Dandenong MSE</t>
  </si>
  <si>
    <t>HS0001NZ</t>
  </si>
  <si>
    <t>ST_KEW_APAC</t>
  </si>
  <si>
    <t>StarTrack Kewdale KEW</t>
  </si>
  <si>
    <t>Sanja Ubiparipovic (AM Shift) - sanja.ubiparipovic@startrack.com.au,
Fikre Andemariam (PM Shift) - fikre.andemariam@startrack.com.au</t>
  </si>
  <si>
    <t>ST_PEX_APAC</t>
  </si>
  <si>
    <t>StarTrack Perth Express PEX</t>
  </si>
  <si>
    <t>Shaun Booker (PM Shift) shaun.booker@startrack.com.au,
Paul Trembath (AM Shift ) - paul.trembath@startrack.com.au</t>
  </si>
  <si>
    <t>ST_PERP_APAC</t>
  </si>
  <si>
    <t>MNTPERP</t>
  </si>
  <si>
    <t>StarTrack Perth Premium PER</t>
  </si>
  <si>
    <t>HS0003NZ</t>
  </si>
  <si>
    <t>XLB_APAC</t>
  </si>
  <si>
    <t>XL Express Brisbane XLB</t>
  </si>
  <si>
    <t>XLM_APAC</t>
  </si>
  <si>
    <t>XL Express Melbourne XLM</t>
  </si>
  <si>
    <t>XLS_APAC</t>
  </si>
  <si>
    <t>XL Express Sydney XLS</t>
  </si>
  <si>
    <t>CCP_APAC</t>
  </si>
  <si>
    <t>Concepcion Airport CCP</t>
  </si>
  <si>
    <t>South America</t>
  </si>
  <si>
    <t>LIR_APAC</t>
  </si>
  <si>
    <t>Liberia (Costa Rica) Airport LIR</t>
  </si>
  <si>
    <t>Gabriela.Leandro@alstefgroup.com</t>
  </si>
  <si>
    <t>LIM_APAC</t>
  </si>
  <si>
    <t>Lima (Peru) Airport LIM</t>
  </si>
  <si>
    <t>SCL_APAC</t>
  </si>
  <si>
    <t>Santiago (Chile) Airport SCL</t>
  </si>
  <si>
    <t>BLI_APAC</t>
  </si>
  <si>
    <t>Bellingham Intl. Airport BLI</t>
  </si>
  <si>
    <t>USA</t>
  </si>
  <si>
    <t>BOI_APAC</t>
  </si>
  <si>
    <t>BHSBOI</t>
  </si>
  <si>
    <t>Boise Airport BOI</t>
  </si>
  <si>
    <t>jbollinger@cityofboise.org</t>
  </si>
  <si>
    <t>SFO_APAC</t>
  </si>
  <si>
    <t>FS012</t>
  </si>
  <si>
    <t>San Francisco Intl. Airport SFO</t>
  </si>
  <si>
    <t>HS0008</t>
  </si>
  <si>
    <t>GEG_APAC</t>
  </si>
  <si>
    <t>Spokane Intl. Airport GEG</t>
  </si>
  <si>
    <t>rhina.castro_de_castro@sita.aero,
kenneth.chin@sita.aero</t>
  </si>
  <si>
    <t>General</t>
  </si>
  <si>
    <t>BHSGEN09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</si>
</sst>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  <font>
      <sz val="11"/>
      <name val="Aptos"/>
      <family val="2"/>
    </font>
    <font>
      <sz val="10"/>
      <color indexed="8"/>
      <name val="Arial"/>
      <family val="2"/>
    </font>
    <font>
      <u/>
      <sz val="11"/>
      <color theme="10"/>
      <name val="Aptos Narrow"/>
      <family val="2"/>
      <scheme val="minor"/>
    </font>
    <font>
      <sz val="12"/>
      <color theme="0"/>
      <name val="Aptos"/>
      <family val="2"/>
    </font>
    <font>
      <b/>
      <sz val="24"/>
      <color theme="3"/>
      <name val="Aptos Narrow"/>
      <family val="2"/>
      <scheme val="minor"/>
    </font>
    <font>
      <u/>
      <sz val="12"/>
      <color rgb="FF000000"/>
      <name val="Aptos"/>
      <family val="2"/>
    </font>
    <font>
      <sz val="12"/>
      <name val="Aptos"/>
      <family val="2"/>
    </font>
    <font>
      <sz val="12"/>
      <color rgb="FF000000"/>
      <name val="Aptos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26"/>
      <color theme="3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0"/>
      <name val="Aptos"/>
      <family val="2"/>
    </font>
    <font>
      <sz val="12"/>
      <color rgb="FF810000"/>
      <name val="Aptos Narrow"/>
      <family val="2"/>
      <scheme val="minor"/>
    </font>
    <font>
      <sz val="12"/>
      <color rgb="FF9A0000"/>
      <name val="Aptos Narrow"/>
      <family val="2"/>
      <scheme val="minor"/>
    </font>
    <font>
      <sz val="12"/>
      <color rgb="FF640000"/>
      <name val="Aptos Narrow"/>
      <family val="2"/>
      <scheme val="minor"/>
    </font>
    <font>
      <sz val="12"/>
      <color rgb="FF870000"/>
      <name val="Aptos Narrow"/>
      <family val="2"/>
      <scheme val="minor"/>
    </font>
    <font>
      <sz val="12"/>
      <color rgb="FF42000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79E9FF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6C9EC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5B9BD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5" fillId="0" borderId="0"/>
    <xf numFmtId="0" fontId="6" fillId="0" borderId="0" applyNumberFormat="0" applyFill="0" applyBorder="0" applyAlignment="0" applyProtection="0"/>
  </cellStyleXfs>
  <cellXfs count="96">
    <xf numFmtId="0" fontId="0" fillId="0" borderId="0" xfId="0"/>
    <xf numFmtId="0" fontId="3" fillId="2" borderId="2" xfId="0" applyFont="1" applyFill="1" applyBorder="1"/>
    <xf numFmtId="0" fontId="3" fillId="0" borderId="2" xfId="0" applyFont="1" applyBorder="1"/>
    <xf numFmtId="0" fontId="3" fillId="0" borderId="2" xfId="0" applyFont="1" applyBorder="1" applyAlignment="1">
      <alignment vertical="center"/>
    </xf>
    <xf numFmtId="0" fontId="9" fillId="9" borderId="2" xfId="3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13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9" fillId="0" borderId="2" xfId="3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0" fontId="9" fillId="12" borderId="2" xfId="3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left" vertical="center"/>
    </xf>
    <xf numFmtId="0" fontId="8" fillId="0" borderId="0" xfId="1" applyFont="1" applyBorder="1" applyAlignment="1"/>
    <xf numFmtId="0" fontId="3" fillId="0" borderId="4" xfId="0" applyFont="1" applyBorder="1"/>
    <xf numFmtId="0" fontId="2" fillId="0" borderId="4" xfId="0" applyFont="1" applyBorder="1"/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horizontal="center" vertical="top" wrapText="1"/>
    </xf>
    <xf numFmtId="0" fontId="13" fillId="15" borderId="2" xfId="0" applyFont="1" applyFill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3" fillId="15" borderId="2" xfId="0" applyFont="1" applyFill="1" applyBorder="1"/>
    <xf numFmtId="0" fontId="5" fillId="0" borderId="0" xfId="2"/>
    <xf numFmtId="0" fontId="2" fillId="0" borderId="0" xfId="0" applyFont="1"/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3" xfId="0" applyFont="1" applyBorder="1"/>
    <xf numFmtId="0" fontId="3" fillId="0" borderId="4" xfId="0" applyFont="1" applyBorder="1" applyAlignment="1">
      <alignment horizontal="center" vertical="top" wrapText="1"/>
    </xf>
    <xf numFmtId="0" fontId="17" fillId="0" borderId="0" xfId="0" applyFont="1"/>
    <xf numFmtId="0" fontId="7" fillId="0" borderId="0" xfId="0" applyFont="1"/>
    <xf numFmtId="0" fontId="10" fillId="3" borderId="2" xfId="0" applyFont="1" applyFill="1" applyBorder="1" applyAlignment="1">
      <alignment horizontal="left" vertical="center"/>
    </xf>
    <xf numFmtId="0" fontId="11" fillId="9" borderId="2" xfId="3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11" borderId="2" xfId="0" applyFont="1" applyFill="1" applyBorder="1" applyAlignment="1">
      <alignment horizontal="left" vertical="center"/>
    </xf>
    <xf numFmtId="0" fontId="13" fillId="9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14" fillId="13" borderId="2" xfId="2" applyFont="1" applyFill="1" applyBorder="1" applyAlignment="1">
      <alignment horizontal="center" vertical="center"/>
    </xf>
    <xf numFmtId="0" fontId="22" fillId="13" borderId="2" xfId="2" applyFont="1" applyFill="1" applyBorder="1" applyAlignment="1">
      <alignment horizontal="center" vertical="center"/>
    </xf>
    <xf numFmtId="0" fontId="18" fillId="14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16" fillId="16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21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4" fillId="7" borderId="2" xfId="2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23" fillId="17" borderId="10" xfId="0" applyFont="1" applyFill="1" applyBorder="1" applyAlignment="1">
      <alignment horizontal="center" vertical="center"/>
    </xf>
    <xf numFmtId="0" fontId="13" fillId="18" borderId="2" xfId="0" applyFont="1" applyFill="1" applyBorder="1" applyAlignment="1">
      <alignment horizontal="center" vertical="center"/>
    </xf>
    <xf numFmtId="0" fontId="13" fillId="19" borderId="2" xfId="0" applyFon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3" fillId="6" borderId="2" xfId="0" applyFont="1" applyFill="1" applyBorder="1"/>
    <xf numFmtId="0" fontId="5" fillId="0" borderId="6" xfId="2" applyBorder="1"/>
    <xf numFmtId="0" fontId="3" fillId="0" borderId="7" xfId="0" applyFont="1" applyBorder="1" applyAlignment="1">
      <alignment horizontal="center" vertical="top" wrapText="1"/>
    </xf>
    <xf numFmtId="0" fontId="0" fillId="0" borderId="15" xfId="0" applyBorder="1"/>
    <xf numFmtId="0" fontId="5" fillId="0" borderId="16" xfId="2" applyBorder="1"/>
    <xf numFmtId="0" fontId="0" fillId="0" borderId="17" xfId="0" applyBorder="1"/>
    <xf numFmtId="0" fontId="3" fillId="0" borderId="5" xfId="0" applyFont="1" applyBorder="1"/>
    <xf numFmtId="0" fontId="13" fillId="7" borderId="2" xfId="2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wrapText="1"/>
    </xf>
    <xf numFmtId="0" fontId="3" fillId="7" borderId="2" xfId="0" applyFont="1" applyFill="1" applyBorder="1" applyAlignment="1">
      <alignment wrapText="1"/>
    </xf>
    <xf numFmtId="0" fontId="10" fillId="4" borderId="2" xfId="0" applyFont="1" applyFill="1" applyBorder="1" applyAlignment="1">
      <alignment horizontal="left" vertical="center" wrapText="1"/>
    </xf>
    <xf numFmtId="0" fontId="13" fillId="21" borderId="2" xfId="0" applyFont="1" applyFill="1" applyBorder="1" applyAlignment="1">
      <alignment horizontal="center" vertical="center"/>
    </xf>
    <xf numFmtId="0" fontId="15" fillId="0" borderId="12" xfId="1" applyFont="1" applyBorder="1" applyAlignment="1">
      <alignment horizontal="center"/>
    </xf>
    <xf numFmtId="0" fontId="15" fillId="0" borderId="13" xfId="1" applyFont="1" applyBorder="1" applyAlignment="1">
      <alignment horizontal="center"/>
    </xf>
    <xf numFmtId="0" fontId="15" fillId="0" borderId="14" xfId="1" applyFont="1" applyBorder="1" applyAlignment="1">
      <alignment horizontal="center"/>
    </xf>
  </cellXfs>
  <cellStyles count="4">
    <cellStyle name="Heading 1" xfId="1" builtinId="16"/>
    <cellStyle name="Hyperlink" xfId="3" builtinId="8"/>
    <cellStyle name="Normal" xfId="0" builtinId="0"/>
    <cellStyle name="Normal 2" xfId="2" xr:uid="{D0CA8B29-E010-44D0-B74D-97367C7FD62C}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9E9FF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79E9FF"/>
      <color rgb="FFA6C9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B13E2C-5F47-4FC3-96F6-EC6301E962AD}" name="Sites" displayName="Sites" ref="B1:H81" totalsRowShown="0" headerRowDxfId="11" dataDxfId="10" headerRowBorderDxfId="8" tableBorderDxfId="9" totalsRowBorderDxfId="7">
  <autoFilter ref="B1:H81" xr:uid="{D1B13E2C-5F47-4FC3-96F6-EC6301E962AD}"/>
  <sortState xmlns:xlrd2="http://schemas.microsoft.com/office/spreadsheetml/2017/richdata2" ref="B2:H81">
    <sortCondition ref="G2:G81"/>
    <sortCondition ref="D2:D81"/>
  </sortState>
  <tableColumns count="7">
    <tableColumn id="1" xr3:uid="{F49687DC-049D-46FA-A055-5617A933A691}" name="CS Client" dataDxfId="6"/>
    <tableColumn id="2" xr3:uid="{5DF8DF16-3EB6-40D7-B381-384F0DD2CE99}" name="CS Cost Centre " dataDxfId="5"/>
    <tableColumn id="3" xr3:uid="{54183A6F-DB3E-4F24-B427-0B678E696159}" name="Site" dataDxfId="4"/>
    <tableColumn id="4" xr3:uid="{3B16B487-64B3-4DB1-89BB-1573C1109339}" name="WB Code" dataDxfId="3"/>
    <tableColumn id="7" xr3:uid="{729EE815-77B5-4CE6-A98B-DC98182D81DD}" name="Status" dataDxfId="2"/>
    <tableColumn id="5" xr3:uid="{D750F5B2-B01B-4D6A-8924-A90794F302D0}" name="Region" dataDxfId="1"/>
    <tableColumn id="6" xr3:uid="{0B93514B-FBDD-4DD1-9A4E-CB89BD3A8307}" name="Email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C41E-8BDA-4950-A511-4BCB1FACE4EC}">
  <sheetPr codeName="Sheet3"/>
  <dimension ref="B1:Q24"/>
  <sheetViews>
    <sheetView tabSelected="1" workbookViewId="0">
      <selection activeCell="D3" sqref="D3"/>
    </sheetView>
  </sheetViews>
  <sheetFormatPr defaultRowHeight="15"/>
  <cols>
    <col min="3" max="3" width="18.140625" bestFit="1" customWidth="1"/>
    <col min="4" max="4" width="111.42578125" bestFit="1" customWidth="1"/>
    <col min="5" max="5" width="9.140625" customWidth="1"/>
    <col min="6" max="6" width="98.42578125" bestFit="1" customWidth="1"/>
    <col min="7" max="16" width="9.140625" customWidth="1"/>
  </cols>
  <sheetData>
    <row r="1" spans="2:17" ht="34.5">
      <c r="B1" s="93" t="s">
        <v>0</v>
      </c>
      <c r="C1" s="94"/>
      <c r="D1" s="94"/>
      <c r="E1" s="95"/>
      <c r="F1" s="17"/>
      <c r="G1" s="17"/>
      <c r="H1" s="17"/>
      <c r="I1" s="17"/>
    </row>
    <row r="2" spans="2:17">
      <c r="B2" s="81"/>
      <c r="C2" s="82"/>
      <c r="D2" s="82"/>
      <c r="E2" s="83"/>
      <c r="G2" s="27"/>
      <c r="H2" s="27"/>
      <c r="I2" s="27"/>
    </row>
    <row r="3" spans="2:17" s="28" customFormat="1" ht="15.75">
      <c r="B3" s="33"/>
      <c r="C3" s="26" t="s">
        <v>1</v>
      </c>
      <c r="D3" s="3" t="s">
        <v>2</v>
      </c>
      <c r="E3" s="19"/>
      <c r="H3" s="21"/>
    </row>
    <row r="4" spans="2:17" s="28" customFormat="1" ht="15.75">
      <c r="B4" s="33"/>
      <c r="C4" s="1" t="s">
        <v>3</v>
      </c>
      <c r="D4" s="2" t="str">
        <f>TEXT(F4,"")</f>
        <v/>
      </c>
      <c r="E4" s="19"/>
      <c r="F4" s="30">
        <f>_xlfn.XLOOKUP(D3,
Sites[Site],Sites[Emails],
"Other")</f>
        <v>0</v>
      </c>
      <c r="G4" s="35"/>
      <c r="H4" s="21"/>
      <c r="O4" s="31"/>
    </row>
    <row r="5" spans="2:17" s="21" customFormat="1" ht="15.75">
      <c r="B5" s="20"/>
      <c r="C5" s="23" t="s">
        <v>4</v>
      </c>
      <c r="D5" s="2" t="str">
        <f>TEXT(F5,"")</f>
        <v>NAN_APAC</v>
      </c>
      <c r="E5" s="18"/>
      <c r="F5" s="35" t="str">
        <f>_xlfn.XLOOKUP(D3,
Sites[Site],Sites[CS Client],
"Other")</f>
        <v>NAN_APAC</v>
      </c>
      <c r="G5" s="36"/>
    </row>
    <row r="6" spans="2:17" s="21" customFormat="1" ht="15.75">
      <c r="B6" s="20"/>
      <c r="C6" s="23" t="s">
        <v>5</v>
      </c>
      <c r="D6" s="2" t="str">
        <f t="shared" ref="D6" si="0">TEXT(F6,"")</f>
        <v>Need BF</v>
      </c>
      <c r="E6" s="18"/>
      <c r="F6" s="35" t="str">
        <f>_xlfn.XLOOKUP(D3,
Sites[Site],Sites[[CS Cost Centre ]],
"Other")</f>
        <v>Need BF</v>
      </c>
      <c r="G6" s="36"/>
      <c r="Q6" s="32"/>
    </row>
    <row r="7" spans="2:17" s="21" customFormat="1" ht="15.75">
      <c r="B7" s="20"/>
      <c r="C7" s="23" t="s">
        <v>6</v>
      </c>
      <c r="D7" s="2" t="str">
        <f>TEXT(F7,"")</f>
        <v>Need BF</v>
      </c>
      <c r="E7" s="18"/>
      <c r="F7" s="35" t="str">
        <f>_xlfn.XLOOKUP(D3,
Sites[Site],Sites[WB Code],
"Other")</f>
        <v>Need BF</v>
      </c>
      <c r="G7" s="36"/>
    </row>
    <row r="8" spans="2:17" s="21" customFormat="1" ht="15.75" customHeight="1">
      <c r="B8" s="20"/>
      <c r="C8" s="23" t="s">
        <v>7</v>
      </c>
      <c r="D8" s="2" t="str">
        <f>TEXT(F8,"")</f>
        <v>Inactive</v>
      </c>
      <c r="E8" s="34"/>
      <c r="F8" s="35" t="str">
        <f>_xlfn.XLOOKUP(D3,
Sites[Site],Sites[Status],
"Other")</f>
        <v>Inactive</v>
      </c>
      <c r="G8" s="29"/>
    </row>
    <row r="9" spans="2:17" s="21" customFormat="1" ht="15.75">
      <c r="B9" s="84"/>
      <c r="C9" s="79"/>
      <c r="D9" s="79"/>
      <c r="E9" s="80"/>
      <c r="F9" s="22"/>
      <c r="G9" s="29"/>
    </row>
    <row r="10" spans="2:17" ht="15.75">
      <c r="K10" s="29"/>
      <c r="L10" s="29"/>
    </row>
    <row r="11" spans="2:17" ht="15.75">
      <c r="K11" s="29"/>
      <c r="L11" s="29"/>
    </row>
    <row r="12" spans="2:17" ht="15.75">
      <c r="K12" s="29"/>
      <c r="L12" s="29"/>
    </row>
    <row r="13" spans="2:17" ht="15.75">
      <c r="K13" s="29"/>
      <c r="L13" s="29"/>
    </row>
    <row r="14" spans="2:17" ht="15.75">
      <c r="K14" s="29"/>
      <c r="L14" s="29"/>
    </row>
    <row r="15" spans="2:17" ht="15.75">
      <c r="K15" s="29"/>
      <c r="L15" s="29"/>
    </row>
    <row r="16" spans="2:17" ht="15.75">
      <c r="K16" s="29"/>
      <c r="L16" s="29"/>
    </row>
    <row r="17" spans="11:12" ht="15.75">
      <c r="K17" s="29"/>
      <c r="L17" s="29"/>
    </row>
    <row r="18" spans="11:12" ht="15.75">
      <c r="K18" s="29"/>
      <c r="L18" s="29"/>
    </row>
    <row r="19" spans="11:12" ht="15.75">
      <c r="K19" s="29"/>
      <c r="L19" s="29"/>
    </row>
    <row r="20" spans="11:12" ht="15.75">
      <c r="K20" s="29"/>
      <c r="L20" s="29"/>
    </row>
    <row r="21" spans="11:12" ht="15.75">
      <c r="K21" s="29"/>
      <c r="L21" s="29"/>
    </row>
    <row r="22" spans="11:12" ht="15.75">
      <c r="K22" s="29"/>
      <c r="L22" s="29"/>
    </row>
    <row r="23" spans="11:12" ht="15.75">
      <c r="K23" s="29"/>
      <c r="L23" s="29"/>
    </row>
    <row r="24" spans="11:12" ht="15.75">
      <c r="K24" s="29"/>
      <c r="L24" s="29"/>
    </row>
  </sheetData>
  <dataConsolidate/>
  <mergeCells count="1">
    <mergeCell ref="B1:E1"/>
  </mergeCells>
  <conditionalFormatting sqref="D8">
    <cfRule type="expression" dxfId="28" priority="1">
      <formula>$D$8 ="Stop Service"</formula>
    </cfRule>
    <cfRule type="expression" dxfId="27" priority="2">
      <formula>$D$8 = "Expired"</formula>
    </cfRule>
    <cfRule type="expression" dxfId="26" priority="3">
      <formula>$D$8 = "Active"</formula>
    </cfRule>
    <cfRule type="expression" dxfId="25" priority="4">
      <formula>$D$8 ="Inactive"</formula>
    </cfRule>
  </conditionalFormatting>
  <conditionalFormatting sqref="F4 O4 Q6">
    <cfRule type="expression" dxfId="24" priority="26">
      <formula>#REF!="Bermuda"</formula>
    </cfRule>
    <cfRule type="expression" dxfId="23" priority="27">
      <formula>#REF!="USA"</formula>
    </cfRule>
    <cfRule type="expression" dxfId="22" priority="28">
      <formula>#REF!="Parcels"</formula>
    </cfRule>
    <cfRule type="expression" dxfId="21" priority="29">
      <formula>#REF!="New Zealand"</formula>
    </cfRule>
    <cfRule type="expression" dxfId="20" priority="30">
      <formula>#REF!="Jamaica"</formula>
    </cfRule>
    <cfRule type="expression" dxfId="19" priority="31">
      <formula>#REF!="Canada"</formula>
    </cfRule>
    <cfRule type="expression" dxfId="18" priority="32">
      <formula>#REF!="Australia"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D8A5D1F-5332-48F3-A08D-5671440D60A2}">
          <x14:formula1>
            <xm:f>'Site Names'!$D$2:$D$81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B6382-740C-462E-BA73-334DDC7EC397}">
  <sheetPr codeName="Sheet2"/>
  <dimension ref="B1:I81"/>
  <sheetViews>
    <sheetView topLeftCell="B1" zoomScaleNormal="100" workbookViewId="0">
      <selection activeCell="B1" sqref="B1"/>
    </sheetView>
  </sheetViews>
  <sheetFormatPr defaultRowHeight="15.75"/>
  <cols>
    <col min="2" max="2" width="17" style="76" bestFit="1" customWidth="1"/>
    <col min="3" max="3" width="20.28515625" style="76" customWidth="1"/>
    <col min="4" max="4" width="47.28515625" style="76" customWidth="1"/>
    <col min="5" max="5" width="14" style="76" bestFit="1" customWidth="1"/>
    <col min="6" max="6" width="12.42578125" bestFit="1" customWidth="1"/>
    <col min="7" max="7" width="14.7109375" bestFit="1" customWidth="1"/>
    <col min="8" max="8" width="142.5703125" style="76" bestFit="1" customWidth="1"/>
    <col min="9" max="9" width="51.5703125" style="76" bestFit="1" customWidth="1"/>
  </cols>
  <sheetData>
    <row r="1" spans="2:8" customFormat="1">
      <c r="B1" s="24" t="s">
        <v>8</v>
      </c>
      <c r="C1" s="25" t="s">
        <v>9</v>
      </c>
      <c r="D1" s="24" t="s">
        <v>10</v>
      </c>
      <c r="E1" s="25" t="s">
        <v>11</v>
      </c>
      <c r="F1" s="70" t="s">
        <v>12</v>
      </c>
      <c r="G1" s="24" t="s">
        <v>13</v>
      </c>
      <c r="H1" s="24" t="s">
        <v>14</v>
      </c>
    </row>
    <row r="2" spans="2:8" customFormat="1">
      <c r="B2" s="41" t="s">
        <v>15</v>
      </c>
      <c r="C2" s="41" t="s">
        <v>16</v>
      </c>
      <c r="D2" s="41" t="s">
        <v>17</v>
      </c>
      <c r="E2" s="71" t="s">
        <v>16</v>
      </c>
      <c r="F2" s="71" t="s">
        <v>18</v>
      </c>
      <c r="G2" s="41" t="s">
        <v>19</v>
      </c>
      <c r="H2" s="38" t="s">
        <v>20</v>
      </c>
    </row>
    <row r="3" spans="2:8" customFormat="1">
      <c r="B3" s="41" t="s">
        <v>21</v>
      </c>
      <c r="C3" s="41" t="s">
        <v>22</v>
      </c>
      <c r="D3" s="86" t="s">
        <v>23</v>
      </c>
      <c r="E3" s="41" t="s">
        <v>22</v>
      </c>
      <c r="F3" s="72" t="s">
        <v>24</v>
      </c>
      <c r="G3" s="41" t="s">
        <v>19</v>
      </c>
      <c r="H3" s="4"/>
    </row>
    <row r="4" spans="2:8" customFormat="1">
      <c r="B4" s="41" t="s">
        <v>25</v>
      </c>
      <c r="C4" s="41" t="s">
        <v>26</v>
      </c>
      <c r="D4" s="41" t="s">
        <v>27</v>
      </c>
      <c r="E4" s="41" t="s">
        <v>26</v>
      </c>
      <c r="F4" s="72" t="s">
        <v>24</v>
      </c>
      <c r="G4" s="41" t="s">
        <v>19</v>
      </c>
      <c r="H4" s="4"/>
    </row>
    <row r="5" spans="2:8" customFormat="1">
      <c r="B5" s="42" t="s">
        <v>28</v>
      </c>
      <c r="C5" s="42" t="s">
        <v>29</v>
      </c>
      <c r="D5" s="42" t="s">
        <v>30</v>
      </c>
      <c r="E5" s="42" t="s">
        <v>29</v>
      </c>
      <c r="F5" s="72" t="s">
        <v>24</v>
      </c>
      <c r="G5" s="42" t="s">
        <v>31</v>
      </c>
      <c r="H5" s="5"/>
    </row>
    <row r="6" spans="2:8" customFormat="1">
      <c r="B6" s="42" t="s">
        <v>32</v>
      </c>
      <c r="C6" s="42" t="s">
        <v>33</v>
      </c>
      <c r="D6" s="42" t="s">
        <v>34</v>
      </c>
      <c r="E6" s="42" t="s">
        <v>35</v>
      </c>
      <c r="F6" s="72" t="s">
        <v>24</v>
      </c>
      <c r="G6" s="42" t="s">
        <v>31</v>
      </c>
      <c r="H6" s="5"/>
    </row>
    <row r="7" spans="2:8" customFormat="1">
      <c r="B7" s="42" t="s">
        <v>36</v>
      </c>
      <c r="C7" s="43" t="s">
        <v>16</v>
      </c>
      <c r="D7" s="42" t="s">
        <v>37</v>
      </c>
      <c r="E7" s="71" t="s">
        <v>16</v>
      </c>
      <c r="F7" s="71" t="s">
        <v>18</v>
      </c>
      <c r="G7" s="42" t="s">
        <v>31</v>
      </c>
      <c r="H7" s="5"/>
    </row>
    <row r="8" spans="2:8" customFormat="1">
      <c r="B8" s="42" t="s">
        <v>38</v>
      </c>
      <c r="C8" s="42" t="s">
        <v>16</v>
      </c>
      <c r="D8" s="42" t="s">
        <v>39</v>
      </c>
      <c r="E8" s="71" t="s">
        <v>16</v>
      </c>
      <c r="F8" s="71" t="s">
        <v>18</v>
      </c>
      <c r="G8" s="42" t="s">
        <v>31</v>
      </c>
      <c r="H8" s="5"/>
    </row>
    <row r="9" spans="2:8" customFormat="1">
      <c r="B9" s="42" t="s">
        <v>40</v>
      </c>
      <c r="C9" s="43" t="s">
        <v>16</v>
      </c>
      <c r="D9" s="42" t="s">
        <v>41</v>
      </c>
      <c r="E9" s="71" t="s">
        <v>16</v>
      </c>
      <c r="F9" s="71" t="s">
        <v>18</v>
      </c>
      <c r="G9" s="42" t="s">
        <v>31</v>
      </c>
      <c r="H9" s="5"/>
    </row>
    <row r="10" spans="2:8" customFormat="1">
      <c r="B10" s="42" t="s">
        <v>42</v>
      </c>
      <c r="C10" s="43" t="s">
        <v>16</v>
      </c>
      <c r="D10" s="42" t="s">
        <v>43</v>
      </c>
      <c r="E10" s="71" t="s">
        <v>16</v>
      </c>
      <c r="F10" s="71" t="s">
        <v>18</v>
      </c>
      <c r="G10" s="42" t="s">
        <v>31</v>
      </c>
      <c r="H10" s="5"/>
    </row>
    <row r="11" spans="2:8" customFormat="1">
      <c r="B11" s="42" t="s">
        <v>44</v>
      </c>
      <c r="C11" s="43" t="s">
        <v>16</v>
      </c>
      <c r="D11" s="42" t="s">
        <v>45</v>
      </c>
      <c r="E11" s="71" t="s">
        <v>16</v>
      </c>
      <c r="F11" s="71" t="s">
        <v>18</v>
      </c>
      <c r="G11" s="42" t="s">
        <v>31</v>
      </c>
      <c r="H11" s="5"/>
    </row>
    <row r="12" spans="2:8" customFormat="1">
      <c r="B12" s="42" t="s">
        <v>46</v>
      </c>
      <c r="C12" s="43" t="s">
        <v>16</v>
      </c>
      <c r="D12" s="42" t="s">
        <v>47</v>
      </c>
      <c r="E12" s="71" t="s">
        <v>16</v>
      </c>
      <c r="F12" s="71" t="s">
        <v>18</v>
      </c>
      <c r="G12" s="42" t="s">
        <v>31</v>
      </c>
      <c r="H12" s="37"/>
    </row>
    <row r="13" spans="2:8" customFormat="1">
      <c r="B13" s="44" t="s">
        <v>48</v>
      </c>
      <c r="C13" s="43" t="s">
        <v>16</v>
      </c>
      <c r="D13" s="44" t="s">
        <v>49</v>
      </c>
      <c r="E13" s="71" t="s">
        <v>16</v>
      </c>
      <c r="F13" s="71" t="s">
        <v>18</v>
      </c>
      <c r="G13" s="42" t="s">
        <v>31</v>
      </c>
      <c r="H13" s="5"/>
    </row>
    <row r="14" spans="2:8" customFormat="1">
      <c r="B14" s="42" t="s">
        <v>50</v>
      </c>
      <c r="C14" s="42" t="s">
        <v>51</v>
      </c>
      <c r="D14" s="42" t="s">
        <v>52</v>
      </c>
      <c r="E14" s="42" t="s">
        <v>51</v>
      </c>
      <c r="F14" s="72" t="s">
        <v>24</v>
      </c>
      <c r="G14" s="42" t="s">
        <v>31</v>
      </c>
      <c r="H14" s="5"/>
    </row>
    <row r="15" spans="2:8" customFormat="1">
      <c r="B15" s="42" t="s">
        <v>53</v>
      </c>
      <c r="C15" s="43" t="s">
        <v>16</v>
      </c>
      <c r="D15" s="42" t="s">
        <v>54</v>
      </c>
      <c r="E15" s="71" t="s">
        <v>16</v>
      </c>
      <c r="F15" s="71" t="s">
        <v>18</v>
      </c>
      <c r="G15" s="42" t="s">
        <v>31</v>
      </c>
      <c r="H15" s="5"/>
    </row>
    <row r="16" spans="2:8" customFormat="1">
      <c r="B16" s="42" t="s">
        <v>55</v>
      </c>
      <c r="C16" s="42" t="s">
        <v>16</v>
      </c>
      <c r="D16" s="42" t="s">
        <v>56</v>
      </c>
      <c r="E16" s="71" t="s">
        <v>16</v>
      </c>
      <c r="F16" s="71" t="s">
        <v>18</v>
      </c>
      <c r="G16" s="42" t="s">
        <v>31</v>
      </c>
      <c r="H16" s="39"/>
    </row>
    <row r="17" spans="2:8" customFormat="1">
      <c r="B17" s="45" t="s">
        <v>57</v>
      </c>
      <c r="C17" s="45" t="s">
        <v>16</v>
      </c>
      <c r="D17" s="45" t="s">
        <v>58</v>
      </c>
      <c r="E17" s="71" t="s">
        <v>16</v>
      </c>
      <c r="F17" s="71" t="s">
        <v>18</v>
      </c>
      <c r="G17" s="45" t="s">
        <v>59</v>
      </c>
      <c r="H17" s="6"/>
    </row>
    <row r="18" spans="2:8" customFormat="1">
      <c r="B18" s="46" t="s">
        <v>60</v>
      </c>
      <c r="C18" s="46" t="s">
        <v>61</v>
      </c>
      <c r="D18" s="46" t="s">
        <v>62</v>
      </c>
      <c r="E18" s="46" t="s">
        <v>61</v>
      </c>
      <c r="F18" s="72" t="s">
        <v>24</v>
      </c>
      <c r="G18" s="46" t="s">
        <v>63</v>
      </c>
      <c r="H18" s="40" t="s">
        <v>64</v>
      </c>
    </row>
    <row r="19" spans="2:8" customFormat="1">
      <c r="B19" s="47" t="s">
        <v>65</v>
      </c>
      <c r="C19" s="47" t="s">
        <v>66</v>
      </c>
      <c r="D19" s="47" t="s">
        <v>67</v>
      </c>
      <c r="E19" s="47" t="s">
        <v>66</v>
      </c>
      <c r="F19" s="72" t="s">
        <v>24</v>
      </c>
      <c r="G19" s="48" t="s">
        <v>68</v>
      </c>
      <c r="H19" s="7" t="s">
        <v>69</v>
      </c>
    </row>
    <row r="20" spans="2:8" customFormat="1">
      <c r="B20" s="47" t="s">
        <v>70</v>
      </c>
      <c r="C20" s="47" t="s">
        <v>71</v>
      </c>
      <c r="D20" s="47" t="s">
        <v>72</v>
      </c>
      <c r="E20" s="47" t="s">
        <v>71</v>
      </c>
      <c r="F20" s="72" t="s">
        <v>24</v>
      </c>
      <c r="G20" s="48" t="s">
        <v>68</v>
      </c>
      <c r="H20" s="7" t="s">
        <v>73</v>
      </c>
    </row>
    <row r="21" spans="2:8" customFormat="1">
      <c r="B21" s="47" t="s">
        <v>74</v>
      </c>
      <c r="C21" s="47" t="s">
        <v>75</v>
      </c>
      <c r="D21" s="47" t="s">
        <v>76</v>
      </c>
      <c r="E21" s="47" t="s">
        <v>75</v>
      </c>
      <c r="F21" s="72" t="s">
        <v>24</v>
      </c>
      <c r="G21" s="48" t="s">
        <v>68</v>
      </c>
      <c r="H21" s="7" t="s">
        <v>73</v>
      </c>
    </row>
    <row r="22" spans="2:8" customFormat="1">
      <c r="B22" s="47" t="s">
        <v>77</v>
      </c>
      <c r="C22" s="47" t="s">
        <v>78</v>
      </c>
      <c r="D22" s="47" t="s">
        <v>79</v>
      </c>
      <c r="E22" s="47" t="s">
        <v>78</v>
      </c>
      <c r="F22" s="72" t="s">
        <v>24</v>
      </c>
      <c r="G22" s="48" t="s">
        <v>68</v>
      </c>
      <c r="H22" s="7" t="s">
        <v>73</v>
      </c>
    </row>
    <row r="23" spans="2:8" customFormat="1">
      <c r="B23" s="47" t="s">
        <v>80</v>
      </c>
      <c r="C23" s="47" t="s">
        <v>81</v>
      </c>
      <c r="D23" s="47" t="s">
        <v>82</v>
      </c>
      <c r="E23" s="73" t="s">
        <v>81</v>
      </c>
      <c r="F23" s="73" t="s">
        <v>83</v>
      </c>
      <c r="G23" s="48" t="s">
        <v>68</v>
      </c>
      <c r="H23" s="7" t="s">
        <v>73</v>
      </c>
    </row>
    <row r="24" spans="2:8" customFormat="1">
      <c r="B24" s="47" t="s">
        <v>84</v>
      </c>
      <c r="C24" s="49" t="s">
        <v>16</v>
      </c>
      <c r="D24" s="47" t="s">
        <v>85</v>
      </c>
      <c r="E24" s="71" t="s">
        <v>16</v>
      </c>
      <c r="F24" s="71" t="s">
        <v>18</v>
      </c>
      <c r="G24" s="48" t="s">
        <v>68</v>
      </c>
      <c r="H24" s="7" t="s">
        <v>73</v>
      </c>
    </row>
    <row r="25" spans="2:8" customFormat="1">
      <c r="B25" s="47" t="s">
        <v>86</v>
      </c>
      <c r="C25" s="49" t="s">
        <v>16</v>
      </c>
      <c r="D25" s="47" t="s">
        <v>87</v>
      </c>
      <c r="E25" s="71" t="s">
        <v>16</v>
      </c>
      <c r="F25" s="71" t="s">
        <v>18</v>
      </c>
      <c r="G25" s="48" t="s">
        <v>68</v>
      </c>
      <c r="H25" s="7" t="s">
        <v>73</v>
      </c>
    </row>
    <row r="26" spans="2:8" customFormat="1">
      <c r="B26" s="47" t="s">
        <v>88</v>
      </c>
      <c r="C26" s="47" t="s">
        <v>89</v>
      </c>
      <c r="D26" s="47" t="s">
        <v>90</v>
      </c>
      <c r="E26" s="47" t="s">
        <v>89</v>
      </c>
      <c r="F26" s="72" t="s">
        <v>24</v>
      </c>
      <c r="G26" s="48" t="s">
        <v>68</v>
      </c>
      <c r="H26" s="7" t="s">
        <v>73</v>
      </c>
    </row>
    <row r="27" spans="2:8" customFormat="1">
      <c r="B27" s="47" t="s">
        <v>91</v>
      </c>
      <c r="C27" s="47" t="s">
        <v>92</v>
      </c>
      <c r="D27" s="47" t="s">
        <v>93</v>
      </c>
      <c r="E27" s="47" t="s">
        <v>92</v>
      </c>
      <c r="F27" s="72" t="s">
        <v>24</v>
      </c>
      <c r="G27" s="48" t="s">
        <v>68</v>
      </c>
      <c r="H27" s="7" t="s">
        <v>73</v>
      </c>
    </row>
    <row r="28" spans="2:8" customFormat="1">
      <c r="B28" s="47" t="s">
        <v>94</v>
      </c>
      <c r="C28" s="49" t="s">
        <v>16</v>
      </c>
      <c r="D28" s="47" t="s">
        <v>95</v>
      </c>
      <c r="E28" s="71" t="s">
        <v>16</v>
      </c>
      <c r="F28" s="71" t="s">
        <v>18</v>
      </c>
      <c r="G28" s="48" t="s">
        <v>68</v>
      </c>
      <c r="H28" s="7" t="s">
        <v>73</v>
      </c>
    </row>
    <row r="29" spans="2:8" customFormat="1">
      <c r="B29" s="47" t="s">
        <v>96</v>
      </c>
      <c r="C29" s="47" t="s">
        <v>97</v>
      </c>
      <c r="D29" s="47" t="s">
        <v>98</v>
      </c>
      <c r="E29" s="47" t="s">
        <v>97</v>
      </c>
      <c r="F29" s="72" t="s">
        <v>24</v>
      </c>
      <c r="G29" s="48" t="s">
        <v>68</v>
      </c>
      <c r="H29" s="7" t="s">
        <v>73</v>
      </c>
    </row>
    <row r="30" spans="2:8" customFormat="1">
      <c r="B30" s="47" t="s">
        <v>99</v>
      </c>
      <c r="C30" s="47" t="s">
        <v>100</v>
      </c>
      <c r="D30" s="47" t="s">
        <v>101</v>
      </c>
      <c r="E30" s="47" t="s">
        <v>100</v>
      </c>
      <c r="F30" s="72" t="s">
        <v>24</v>
      </c>
      <c r="G30" s="48" t="s">
        <v>68</v>
      </c>
      <c r="H30" s="7" t="s">
        <v>73</v>
      </c>
    </row>
    <row r="31" spans="2:8" customFormat="1">
      <c r="B31" s="47" t="s">
        <v>102</v>
      </c>
      <c r="C31" s="47" t="s">
        <v>103</v>
      </c>
      <c r="D31" s="47" t="s">
        <v>104</v>
      </c>
      <c r="E31" s="47" t="s">
        <v>103</v>
      </c>
      <c r="F31" s="72" t="s">
        <v>24</v>
      </c>
      <c r="G31" s="48" t="s">
        <v>68</v>
      </c>
      <c r="H31" s="7" t="s">
        <v>73</v>
      </c>
    </row>
    <row r="32" spans="2:8" customFormat="1">
      <c r="B32" s="47" t="s">
        <v>102</v>
      </c>
      <c r="C32" s="47" t="s">
        <v>103</v>
      </c>
      <c r="D32" s="47" t="s">
        <v>104</v>
      </c>
      <c r="E32" s="47" t="s">
        <v>105</v>
      </c>
      <c r="F32" s="72" t="s">
        <v>24</v>
      </c>
      <c r="G32" s="48" t="s">
        <v>68</v>
      </c>
      <c r="H32" s="7" t="s">
        <v>73</v>
      </c>
    </row>
    <row r="33" spans="2:8" customFormat="1">
      <c r="B33" s="47" t="s">
        <v>106</v>
      </c>
      <c r="C33" s="47" t="s">
        <v>107</v>
      </c>
      <c r="D33" s="47" t="s">
        <v>108</v>
      </c>
      <c r="E33" s="47" t="s">
        <v>107</v>
      </c>
      <c r="F33" s="72" t="s">
        <v>24</v>
      </c>
      <c r="G33" s="48" t="s">
        <v>68</v>
      </c>
      <c r="H33" s="7" t="s">
        <v>73</v>
      </c>
    </row>
    <row r="34" spans="2:8" customFormat="1">
      <c r="B34" s="47" t="s">
        <v>109</v>
      </c>
      <c r="C34" s="47" t="s">
        <v>110</v>
      </c>
      <c r="D34" s="47" t="s">
        <v>111</v>
      </c>
      <c r="E34" s="47" t="s">
        <v>110</v>
      </c>
      <c r="F34" s="72" t="s">
        <v>24</v>
      </c>
      <c r="G34" s="48" t="s">
        <v>68</v>
      </c>
      <c r="H34" s="7" t="s">
        <v>73</v>
      </c>
    </row>
    <row r="35" spans="2:8" customFormat="1" ht="31.5">
      <c r="B35" s="47" t="s">
        <v>112</v>
      </c>
      <c r="C35" s="47" t="s">
        <v>113</v>
      </c>
      <c r="D35" s="47" t="s">
        <v>114</v>
      </c>
      <c r="E35" s="47" t="s">
        <v>113</v>
      </c>
      <c r="F35" s="72" t="s">
        <v>24</v>
      </c>
      <c r="G35" s="48" t="s">
        <v>68</v>
      </c>
      <c r="H35" s="91" t="s">
        <v>115</v>
      </c>
    </row>
    <row r="36" spans="2:8" customFormat="1">
      <c r="B36" s="47" t="s">
        <v>116</v>
      </c>
      <c r="C36" s="47" t="s">
        <v>117</v>
      </c>
      <c r="D36" s="47" t="s">
        <v>118</v>
      </c>
      <c r="E36" s="47" t="s">
        <v>117</v>
      </c>
      <c r="F36" s="72" t="s">
        <v>24</v>
      </c>
      <c r="G36" s="48" t="s">
        <v>68</v>
      </c>
      <c r="H36" s="7" t="s">
        <v>73</v>
      </c>
    </row>
    <row r="37" spans="2:8" customFormat="1">
      <c r="B37" s="47" t="s">
        <v>119</v>
      </c>
      <c r="C37" s="47" t="s">
        <v>120</v>
      </c>
      <c r="D37" s="47" t="s">
        <v>121</v>
      </c>
      <c r="E37" s="47" t="s">
        <v>120</v>
      </c>
      <c r="F37" s="72" t="s">
        <v>24</v>
      </c>
      <c r="G37" s="48" t="s">
        <v>68</v>
      </c>
      <c r="H37" s="7" t="s">
        <v>73</v>
      </c>
    </row>
    <row r="38" spans="2:8" customFormat="1">
      <c r="B38" s="50" t="s">
        <v>122</v>
      </c>
      <c r="C38" s="51" t="s">
        <v>16</v>
      </c>
      <c r="D38" s="50" t="s">
        <v>2</v>
      </c>
      <c r="E38" s="71" t="s">
        <v>16</v>
      </c>
      <c r="F38" s="71" t="s">
        <v>18</v>
      </c>
      <c r="G38" s="50" t="s">
        <v>123</v>
      </c>
      <c r="H38" s="8"/>
    </row>
    <row r="39" spans="2:8" customFormat="1">
      <c r="B39" s="52" t="s">
        <v>124</v>
      </c>
      <c r="C39" s="52" t="s">
        <v>16</v>
      </c>
      <c r="D39" s="52" t="s">
        <v>125</v>
      </c>
      <c r="E39" s="92" t="s">
        <v>126</v>
      </c>
      <c r="F39" s="72" t="s">
        <v>24</v>
      </c>
      <c r="G39" s="52" t="s">
        <v>127</v>
      </c>
      <c r="H39" s="8"/>
    </row>
    <row r="40" spans="2:8" customFormat="1">
      <c r="B40" s="55" t="s">
        <v>128</v>
      </c>
      <c r="C40" s="56" t="s">
        <v>16</v>
      </c>
      <c r="D40" s="55" t="s">
        <v>129</v>
      </c>
      <c r="E40" s="71" t="s">
        <v>16</v>
      </c>
      <c r="F40" s="71" t="s">
        <v>18</v>
      </c>
      <c r="G40" s="54" t="s">
        <v>130</v>
      </c>
      <c r="H40" s="9" t="s">
        <v>131</v>
      </c>
    </row>
    <row r="41" spans="2:8" customFormat="1">
      <c r="B41" s="53" t="s">
        <v>132</v>
      </c>
      <c r="C41" s="53" t="s">
        <v>133</v>
      </c>
      <c r="D41" s="53" t="s">
        <v>134</v>
      </c>
      <c r="E41" s="53" t="s">
        <v>133</v>
      </c>
      <c r="F41" s="72" t="s">
        <v>24</v>
      </c>
      <c r="G41" s="54" t="s">
        <v>130</v>
      </c>
      <c r="H41" s="9"/>
    </row>
    <row r="42" spans="2:8" customFormat="1">
      <c r="B42" s="50" t="s">
        <v>135</v>
      </c>
      <c r="C42" s="51" t="s">
        <v>16</v>
      </c>
      <c r="D42" s="50" t="s">
        <v>136</v>
      </c>
      <c r="E42" s="71" t="s">
        <v>16</v>
      </c>
      <c r="F42" s="71" t="s">
        <v>18</v>
      </c>
      <c r="G42" s="50" t="s">
        <v>137</v>
      </c>
      <c r="H42" s="8"/>
    </row>
    <row r="43" spans="2:8" customFormat="1">
      <c r="B43" s="52" t="s">
        <v>138</v>
      </c>
      <c r="C43" s="57" t="s">
        <v>16</v>
      </c>
      <c r="D43" s="52" t="s">
        <v>139</v>
      </c>
      <c r="E43" s="71" t="s">
        <v>16</v>
      </c>
      <c r="F43" s="71" t="s">
        <v>18</v>
      </c>
      <c r="G43" s="52" t="s">
        <v>140</v>
      </c>
      <c r="H43" s="8"/>
    </row>
    <row r="44" spans="2:8" customFormat="1">
      <c r="B44" s="58" t="s">
        <v>141</v>
      </c>
      <c r="C44" s="58" t="s">
        <v>142</v>
      </c>
      <c r="D44" s="58" t="s">
        <v>143</v>
      </c>
      <c r="E44" s="58" t="s">
        <v>142</v>
      </c>
      <c r="F44" s="72" t="s">
        <v>24</v>
      </c>
      <c r="G44" s="59" t="s">
        <v>144</v>
      </c>
      <c r="H44" s="10" t="s">
        <v>145</v>
      </c>
    </row>
    <row r="45" spans="2:8" customFormat="1">
      <c r="B45" s="58" t="s">
        <v>146</v>
      </c>
      <c r="C45" s="58" t="s">
        <v>147</v>
      </c>
      <c r="D45" s="58" t="s">
        <v>148</v>
      </c>
      <c r="E45" s="58" t="s">
        <v>147</v>
      </c>
      <c r="F45" s="72" t="s">
        <v>24</v>
      </c>
      <c r="G45" s="59" t="s">
        <v>144</v>
      </c>
      <c r="H45" s="10" t="s">
        <v>145</v>
      </c>
    </row>
    <row r="46" spans="2:8" customFormat="1">
      <c r="B46" s="58" t="s">
        <v>149</v>
      </c>
      <c r="C46" s="58" t="s">
        <v>150</v>
      </c>
      <c r="D46" s="58" t="s">
        <v>151</v>
      </c>
      <c r="E46" s="58" t="s">
        <v>150</v>
      </c>
      <c r="F46" s="72" t="s">
        <v>24</v>
      </c>
      <c r="G46" s="59" t="s">
        <v>144</v>
      </c>
      <c r="H46" s="10" t="s">
        <v>152</v>
      </c>
    </row>
    <row r="47" spans="2:8" customFormat="1" ht="31.5">
      <c r="B47" s="58" t="s">
        <v>153</v>
      </c>
      <c r="C47" s="58" t="s">
        <v>154</v>
      </c>
      <c r="D47" s="58" t="s">
        <v>155</v>
      </c>
      <c r="E47" s="58" t="s">
        <v>154</v>
      </c>
      <c r="F47" s="72" t="s">
        <v>24</v>
      </c>
      <c r="G47" s="59" t="s">
        <v>144</v>
      </c>
      <c r="H47" s="87" t="s">
        <v>156</v>
      </c>
    </row>
    <row r="48" spans="2:8" customFormat="1">
      <c r="B48" s="58" t="s">
        <v>157</v>
      </c>
      <c r="C48" s="58" t="s">
        <v>16</v>
      </c>
      <c r="D48" s="58" t="s">
        <v>158</v>
      </c>
      <c r="E48" s="71" t="s">
        <v>16</v>
      </c>
      <c r="F48" s="71"/>
      <c r="G48" s="59" t="s">
        <v>144</v>
      </c>
      <c r="H48" s="10"/>
    </row>
    <row r="49" spans="2:8" customFormat="1" ht="31.5">
      <c r="B49" s="58" t="s">
        <v>159</v>
      </c>
      <c r="C49" s="58" t="s">
        <v>160</v>
      </c>
      <c r="D49" s="58" t="s">
        <v>161</v>
      </c>
      <c r="E49" s="58" t="s">
        <v>160</v>
      </c>
      <c r="F49" s="72" t="s">
        <v>24</v>
      </c>
      <c r="G49" s="59" t="s">
        <v>144</v>
      </c>
      <c r="H49" s="87" t="s">
        <v>162</v>
      </c>
    </row>
    <row r="50" spans="2:8" customFormat="1">
      <c r="B50" s="58" t="s">
        <v>163</v>
      </c>
      <c r="C50" s="60" t="s">
        <v>16</v>
      </c>
      <c r="D50" s="58" t="s">
        <v>164</v>
      </c>
      <c r="E50" s="71" t="s">
        <v>16</v>
      </c>
      <c r="F50" s="71" t="s">
        <v>18</v>
      </c>
      <c r="G50" s="59" t="s">
        <v>144</v>
      </c>
      <c r="H50" s="10"/>
    </row>
    <row r="51" spans="2:8" customFormat="1" ht="31.5">
      <c r="B51" s="58" t="s">
        <v>165</v>
      </c>
      <c r="C51" s="58" t="s">
        <v>166</v>
      </c>
      <c r="D51" s="58" t="s">
        <v>167</v>
      </c>
      <c r="E51" s="58" t="s">
        <v>166</v>
      </c>
      <c r="F51" s="72" t="s">
        <v>24</v>
      </c>
      <c r="G51" s="59" t="s">
        <v>144</v>
      </c>
      <c r="H51" s="87" t="s">
        <v>168</v>
      </c>
    </row>
    <row r="52" spans="2:8" customFormat="1">
      <c r="B52" s="58" t="s">
        <v>169</v>
      </c>
      <c r="C52" s="58" t="s">
        <v>170</v>
      </c>
      <c r="D52" s="58" t="s">
        <v>171</v>
      </c>
      <c r="E52" s="58" t="s">
        <v>172</v>
      </c>
      <c r="F52" s="72" t="s">
        <v>24</v>
      </c>
      <c r="G52" s="59" t="s">
        <v>144</v>
      </c>
      <c r="H52" s="87" t="s">
        <v>173</v>
      </c>
    </row>
    <row r="53" spans="2:8" customFormat="1">
      <c r="B53" s="50" t="s">
        <v>174</v>
      </c>
      <c r="C53" s="50" t="s">
        <v>16</v>
      </c>
      <c r="D53" s="50" t="s">
        <v>175</v>
      </c>
      <c r="E53" s="71" t="s">
        <v>16</v>
      </c>
      <c r="F53" s="71" t="s">
        <v>18</v>
      </c>
      <c r="G53" s="50" t="s">
        <v>176</v>
      </c>
      <c r="H53" s="11"/>
    </row>
    <row r="54" spans="2:8" customFormat="1">
      <c r="B54" s="61" t="s">
        <v>177</v>
      </c>
      <c r="C54" s="61" t="s">
        <v>178</v>
      </c>
      <c r="D54" s="61" t="s">
        <v>179</v>
      </c>
      <c r="E54" s="73" t="s">
        <v>178</v>
      </c>
      <c r="F54" s="73" t="s">
        <v>180</v>
      </c>
      <c r="G54" s="62" t="s">
        <v>181</v>
      </c>
      <c r="H54" s="78" t="s">
        <v>182</v>
      </c>
    </row>
    <row r="55" spans="2:8" customFormat="1">
      <c r="B55" s="61" t="s">
        <v>183</v>
      </c>
      <c r="C55" s="61" t="s">
        <v>184</v>
      </c>
      <c r="D55" s="61" t="s">
        <v>185</v>
      </c>
      <c r="E55" s="61" t="s">
        <v>186</v>
      </c>
      <c r="F55" s="72" t="s">
        <v>24</v>
      </c>
      <c r="G55" s="62" t="s">
        <v>181</v>
      </c>
      <c r="H55" s="12"/>
    </row>
    <row r="56" spans="2:8" customFormat="1">
      <c r="B56" s="61" t="s">
        <v>187</v>
      </c>
      <c r="C56" s="61" t="s">
        <v>188</v>
      </c>
      <c r="D56" s="61" t="s">
        <v>189</v>
      </c>
      <c r="E56" s="61" t="s">
        <v>188</v>
      </c>
      <c r="F56" s="72" t="s">
        <v>24</v>
      </c>
      <c r="G56" s="62" t="s">
        <v>181</v>
      </c>
      <c r="H56" s="12"/>
    </row>
    <row r="57" spans="2:8" customFormat="1">
      <c r="B57" s="61" t="s">
        <v>190</v>
      </c>
      <c r="C57" s="61" t="s">
        <v>191</v>
      </c>
      <c r="D57" s="61" t="s">
        <v>192</v>
      </c>
      <c r="E57" s="61" t="s">
        <v>191</v>
      </c>
      <c r="F57" s="72" t="s">
        <v>24</v>
      </c>
      <c r="G57" s="62" t="s">
        <v>181</v>
      </c>
      <c r="H57" s="12"/>
    </row>
    <row r="58" spans="2:8" customFormat="1">
      <c r="B58" s="61" t="s">
        <v>193</v>
      </c>
      <c r="C58" s="63" t="s">
        <v>16</v>
      </c>
      <c r="D58" s="61" t="s">
        <v>194</v>
      </c>
      <c r="E58" s="71" t="s">
        <v>16</v>
      </c>
      <c r="F58" s="71" t="s">
        <v>18</v>
      </c>
      <c r="G58" s="62" t="s">
        <v>181</v>
      </c>
      <c r="H58" s="12" t="s">
        <v>195</v>
      </c>
    </row>
    <row r="59" spans="2:8" customFormat="1">
      <c r="B59" s="61" t="s">
        <v>196</v>
      </c>
      <c r="C59" s="63" t="s">
        <v>16</v>
      </c>
      <c r="D59" s="61" t="s">
        <v>197</v>
      </c>
      <c r="E59" s="71" t="s">
        <v>16</v>
      </c>
      <c r="F59" s="71" t="s">
        <v>18</v>
      </c>
      <c r="G59" s="62" t="s">
        <v>181</v>
      </c>
      <c r="H59" s="12" t="s">
        <v>198</v>
      </c>
    </row>
    <row r="60" spans="2:8" customFormat="1">
      <c r="B60" s="61" t="s">
        <v>199</v>
      </c>
      <c r="C60" s="61" t="s">
        <v>200</v>
      </c>
      <c r="D60" s="61" t="s">
        <v>201</v>
      </c>
      <c r="E60" s="73" t="s">
        <v>200</v>
      </c>
      <c r="F60" s="73" t="s">
        <v>83</v>
      </c>
      <c r="G60" s="62" t="s">
        <v>181</v>
      </c>
      <c r="H60" s="12" t="s">
        <v>198</v>
      </c>
    </row>
    <row r="61" spans="2:8" customFormat="1">
      <c r="B61" s="61" t="s">
        <v>202</v>
      </c>
      <c r="C61" s="63" t="s">
        <v>16</v>
      </c>
      <c r="D61" s="61" t="s">
        <v>203</v>
      </c>
      <c r="E61" s="71" t="s">
        <v>16</v>
      </c>
      <c r="F61" s="71" t="s">
        <v>18</v>
      </c>
      <c r="G61" s="62" t="s">
        <v>181</v>
      </c>
      <c r="H61" s="12"/>
    </row>
    <row r="62" spans="2:8" customFormat="1">
      <c r="B62" s="61" t="s">
        <v>204</v>
      </c>
      <c r="C62" s="63" t="s">
        <v>16</v>
      </c>
      <c r="D62" s="61" t="s">
        <v>205</v>
      </c>
      <c r="E62" s="71" t="s">
        <v>16</v>
      </c>
      <c r="F62" s="71" t="s">
        <v>18</v>
      </c>
      <c r="G62" s="62" t="s">
        <v>181</v>
      </c>
      <c r="H62" s="12"/>
    </row>
    <row r="63" spans="2:8" customFormat="1">
      <c r="B63" s="61" t="s">
        <v>206</v>
      </c>
      <c r="C63" s="63" t="s">
        <v>16</v>
      </c>
      <c r="D63" s="61" t="s">
        <v>207</v>
      </c>
      <c r="E63" s="71" t="s">
        <v>16</v>
      </c>
      <c r="F63" s="71" t="s">
        <v>18</v>
      </c>
      <c r="G63" s="62" t="s">
        <v>181</v>
      </c>
      <c r="H63" s="13"/>
    </row>
    <row r="64" spans="2:8" customFormat="1">
      <c r="B64" s="61" t="s">
        <v>208</v>
      </c>
      <c r="C64" s="61" t="s">
        <v>209</v>
      </c>
      <c r="D64" s="61" t="s">
        <v>210</v>
      </c>
      <c r="E64" s="73" t="s">
        <v>211</v>
      </c>
      <c r="F64" s="73" t="s">
        <v>83</v>
      </c>
      <c r="G64" s="62" t="s">
        <v>181</v>
      </c>
      <c r="H64" s="13"/>
    </row>
    <row r="65" spans="2:8" customFormat="1" ht="31.5">
      <c r="B65" s="61" t="s">
        <v>212</v>
      </c>
      <c r="C65" s="61" t="s">
        <v>213</v>
      </c>
      <c r="D65" s="61" t="s">
        <v>214</v>
      </c>
      <c r="E65" s="61" t="s">
        <v>213</v>
      </c>
      <c r="F65" s="72" t="s">
        <v>24</v>
      </c>
      <c r="G65" s="62" t="s">
        <v>181</v>
      </c>
      <c r="H65" s="88" t="s">
        <v>215</v>
      </c>
    </row>
    <row r="66" spans="2:8" customFormat="1">
      <c r="B66" s="61" t="s">
        <v>216</v>
      </c>
      <c r="C66" s="61" t="s">
        <v>217</v>
      </c>
      <c r="D66" s="61" t="s">
        <v>218</v>
      </c>
      <c r="E66" s="61" t="s">
        <v>219</v>
      </c>
      <c r="F66" s="72" t="s">
        <v>24</v>
      </c>
      <c r="G66" s="62" t="s">
        <v>181</v>
      </c>
      <c r="H66" s="13"/>
    </row>
    <row r="67" spans="2:8" customFormat="1" ht="31.5">
      <c r="B67" s="64" t="s">
        <v>220</v>
      </c>
      <c r="C67" s="61" t="s">
        <v>16</v>
      </c>
      <c r="D67" s="61" t="s">
        <v>221</v>
      </c>
      <c r="E67" s="71" t="s">
        <v>16</v>
      </c>
      <c r="F67" s="71" t="s">
        <v>18</v>
      </c>
      <c r="G67" s="62" t="s">
        <v>181</v>
      </c>
      <c r="H67" s="89" t="s">
        <v>222</v>
      </c>
    </row>
    <row r="68" spans="2:8" customFormat="1" ht="31.5">
      <c r="B68" s="64" t="s">
        <v>223</v>
      </c>
      <c r="C68" s="63" t="s">
        <v>16</v>
      </c>
      <c r="D68" s="61" t="s">
        <v>224</v>
      </c>
      <c r="E68" s="71" t="s">
        <v>16</v>
      </c>
      <c r="F68" s="71" t="s">
        <v>18</v>
      </c>
      <c r="G68" s="62" t="s">
        <v>181</v>
      </c>
      <c r="H68" s="89" t="s">
        <v>225</v>
      </c>
    </row>
    <row r="69" spans="2:8" customFormat="1">
      <c r="B69" s="61" t="s">
        <v>226</v>
      </c>
      <c r="C69" s="61" t="s">
        <v>227</v>
      </c>
      <c r="D69" s="61" t="s">
        <v>228</v>
      </c>
      <c r="E69" s="61" t="s">
        <v>229</v>
      </c>
      <c r="F69" s="72" t="s">
        <v>24</v>
      </c>
      <c r="G69" s="62" t="s">
        <v>181</v>
      </c>
      <c r="H69" s="13"/>
    </row>
    <row r="70" spans="2:8" customFormat="1">
      <c r="B70" s="61" t="s">
        <v>230</v>
      </c>
      <c r="C70" s="63" t="s">
        <v>16</v>
      </c>
      <c r="D70" s="61" t="s">
        <v>231</v>
      </c>
      <c r="E70" s="71" t="s">
        <v>16</v>
      </c>
      <c r="F70" s="71" t="s">
        <v>18</v>
      </c>
      <c r="G70" s="62" t="s">
        <v>181</v>
      </c>
      <c r="H70" s="13"/>
    </row>
    <row r="71" spans="2:8" customFormat="1">
      <c r="B71" s="61" t="s">
        <v>232</v>
      </c>
      <c r="C71" s="63" t="s">
        <v>16</v>
      </c>
      <c r="D71" s="61" t="s">
        <v>233</v>
      </c>
      <c r="E71" s="71" t="s">
        <v>16</v>
      </c>
      <c r="F71" s="71" t="s">
        <v>18</v>
      </c>
      <c r="G71" s="62" t="s">
        <v>181</v>
      </c>
      <c r="H71" s="13"/>
    </row>
    <row r="72" spans="2:8" customFormat="1">
      <c r="B72" s="61" t="s">
        <v>234</v>
      </c>
      <c r="C72" s="63" t="s">
        <v>16</v>
      </c>
      <c r="D72" s="61" t="s">
        <v>235</v>
      </c>
      <c r="E72" s="71" t="s">
        <v>16</v>
      </c>
      <c r="F72" s="71" t="s">
        <v>18</v>
      </c>
      <c r="G72" s="62" t="s">
        <v>181</v>
      </c>
      <c r="H72" s="13"/>
    </row>
    <row r="73" spans="2:8" customFormat="1">
      <c r="B73" s="65" t="s">
        <v>236</v>
      </c>
      <c r="C73" s="66" t="s">
        <v>16</v>
      </c>
      <c r="D73" s="65" t="s">
        <v>237</v>
      </c>
      <c r="E73" s="71" t="s">
        <v>16</v>
      </c>
      <c r="F73" s="71" t="s">
        <v>18</v>
      </c>
      <c r="G73" s="67" t="s">
        <v>238</v>
      </c>
      <c r="H73" s="15"/>
    </row>
    <row r="74" spans="2:8" customFormat="1">
      <c r="B74" s="67" t="s">
        <v>239</v>
      </c>
      <c r="C74" s="67" t="s">
        <v>16</v>
      </c>
      <c r="D74" s="67" t="s">
        <v>240</v>
      </c>
      <c r="E74" s="71" t="s">
        <v>16</v>
      </c>
      <c r="F74" s="71" t="s">
        <v>18</v>
      </c>
      <c r="G74" s="67" t="s">
        <v>238</v>
      </c>
      <c r="H74" s="15" t="s">
        <v>241</v>
      </c>
    </row>
    <row r="75" spans="2:8" customFormat="1">
      <c r="B75" s="67" t="s">
        <v>242</v>
      </c>
      <c r="C75" s="65" t="s">
        <v>16</v>
      </c>
      <c r="D75" s="65" t="s">
        <v>243</v>
      </c>
      <c r="E75" s="71" t="s">
        <v>16</v>
      </c>
      <c r="F75" s="71" t="s">
        <v>18</v>
      </c>
      <c r="G75" s="67" t="s">
        <v>238</v>
      </c>
      <c r="H75" s="14"/>
    </row>
    <row r="76" spans="2:8" customFormat="1">
      <c r="B76" s="65" t="s">
        <v>244</v>
      </c>
      <c r="C76" s="65" t="s">
        <v>16</v>
      </c>
      <c r="D76" s="65" t="s">
        <v>245</v>
      </c>
      <c r="E76" s="71" t="s">
        <v>16</v>
      </c>
      <c r="F76" s="71" t="s">
        <v>18</v>
      </c>
      <c r="G76" s="67" t="s">
        <v>238</v>
      </c>
      <c r="H76" s="15"/>
    </row>
    <row r="77" spans="2:8" customFormat="1">
      <c r="B77" s="68" t="s">
        <v>246</v>
      </c>
      <c r="C77" s="85" t="s">
        <v>16</v>
      </c>
      <c r="D77" s="68" t="s">
        <v>247</v>
      </c>
      <c r="E77" s="71" t="s">
        <v>16</v>
      </c>
      <c r="F77" s="71" t="s">
        <v>18</v>
      </c>
      <c r="G77" s="69" t="s">
        <v>248</v>
      </c>
      <c r="H77" s="16"/>
    </row>
    <row r="78" spans="2:8" customFormat="1">
      <c r="B78" s="69" t="s">
        <v>249</v>
      </c>
      <c r="C78" s="69" t="s">
        <v>250</v>
      </c>
      <c r="D78" s="69" t="s">
        <v>251</v>
      </c>
      <c r="E78" s="77" t="s">
        <v>250</v>
      </c>
      <c r="F78" s="72" t="s">
        <v>24</v>
      </c>
      <c r="G78" s="69" t="s">
        <v>248</v>
      </c>
      <c r="H78" s="16" t="s">
        <v>252</v>
      </c>
    </row>
    <row r="79" spans="2:8" customFormat="1">
      <c r="B79" s="69" t="s">
        <v>253</v>
      </c>
      <c r="C79" s="69" t="s">
        <v>254</v>
      </c>
      <c r="D79" s="69" t="s">
        <v>255</v>
      </c>
      <c r="E79" s="77" t="s">
        <v>256</v>
      </c>
      <c r="F79" s="72" t="s">
        <v>24</v>
      </c>
      <c r="G79" s="69" t="s">
        <v>248</v>
      </c>
      <c r="H79" s="69"/>
    </row>
    <row r="80" spans="2:8" customFormat="1" ht="31.5">
      <c r="B80" s="69" t="s">
        <v>257</v>
      </c>
      <c r="C80" s="69" t="s">
        <v>16</v>
      </c>
      <c r="D80" s="69" t="s">
        <v>258</v>
      </c>
      <c r="E80" s="71" t="s">
        <v>16</v>
      </c>
      <c r="F80" s="71" t="s">
        <v>18</v>
      </c>
      <c r="G80" s="69" t="s">
        <v>248</v>
      </c>
      <c r="H80" s="90" t="s">
        <v>259</v>
      </c>
    </row>
    <row r="81" spans="2:9">
      <c r="B81" s="75"/>
      <c r="C81" s="75"/>
      <c r="D81" s="75" t="s">
        <v>260</v>
      </c>
      <c r="E81" s="75" t="s">
        <v>261</v>
      </c>
      <c r="F81" s="74"/>
      <c r="G81" s="74"/>
      <c r="H81" s="74"/>
      <c r="I81"/>
    </row>
  </sheetData>
  <conditionalFormatting sqref="B40:D40">
    <cfRule type="expression" dxfId="17" priority="1">
      <formula>#REF!="USA"</formula>
    </cfRule>
    <cfRule type="expression" dxfId="16" priority="2">
      <formula>#REF!="Parcels"</formula>
    </cfRule>
    <cfRule type="expression" dxfId="15" priority="3">
      <formula>#REF!="New Zealand"</formula>
    </cfRule>
    <cfRule type="expression" dxfId="14" priority="4">
      <formula>#REF!="Jamaica"</formula>
    </cfRule>
    <cfRule type="expression" dxfId="13" priority="5">
      <formula>#REF!="Canada"</formula>
    </cfRule>
    <cfRule type="expression" dxfId="12" priority="6">
      <formula>#REF!="Australia"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BOTHA Tiaan</dc:creator>
  <cp:keywords/>
  <dc:description/>
  <cp:lastModifiedBy>KUMAR Amit</cp:lastModifiedBy>
  <cp:revision/>
  <dcterms:created xsi:type="dcterms:W3CDTF">2025-04-07T22:24:42Z</dcterms:created>
  <dcterms:modified xsi:type="dcterms:W3CDTF">2026-09-01T22:41:08Z</dcterms:modified>
  <cp:category/>
  <cp:contentStatus/>
</cp:coreProperties>
</file>